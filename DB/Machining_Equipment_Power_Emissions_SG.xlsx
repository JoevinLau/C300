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&amp; Parameters" sheetId="1" r:id="rId4"/>
    <sheet state="visible" name="Equipment Specifications" sheetId="2" r:id="rId5"/>
    <sheet state="visible" name="example of project" sheetId="3" r:id="rId6"/>
  </sheets>
  <definedNames/>
  <calcPr/>
</workbook>
</file>

<file path=xl/sharedStrings.xml><?xml version="1.0" encoding="utf-8"?>
<sst xmlns="http://schemas.openxmlformats.org/spreadsheetml/2006/main" count="120" uniqueCount="61">
  <si>
    <t>Singapore Industrial Grid &amp; Emissions Reference</t>
  </si>
  <si>
    <t>Parameter</t>
  </si>
  <si>
    <t>Value</t>
  </si>
  <si>
    <t>Unit</t>
  </si>
  <si>
    <t>Standard 3-Phase Voltage</t>
  </si>
  <si>
    <t>V AC</t>
  </si>
  <si>
    <t>Standard Single-Phase Voltage</t>
  </si>
  <si>
    <t>Grid Frequency</t>
  </si>
  <si>
    <t>Hz</t>
  </si>
  <si>
    <t>Singapore Grid Emission Factor (EMA 2025/2026)</t>
  </si>
  <si>
    <t>kg CO2e / kWh</t>
  </si>
  <si>
    <t>Assumed Operational Duty Cycle Factor</t>
  </si>
  <si>
    <t>% of Peak Load</t>
  </si>
  <si>
    <t>Machine Type</t>
  </si>
  <si>
    <t>Duty Level</t>
  </si>
  <si>
    <t>Voltage (V)</t>
  </si>
  <si>
    <t>Frequency (Hz)</t>
  </si>
  <si>
    <t>Peak Wattage (kW)</t>
  </si>
  <si>
    <t>Avg Operating Load (kW)</t>
  </si>
  <si>
    <t>Full Load Current (A)</t>
  </si>
  <si>
    <t>Hourly Scope 2 Emissions (kg CO2e/hr)</t>
  </si>
  <si>
    <t>1. CNC Milling (12,000 RPM)</t>
  </si>
  <si>
    <t>Light Duty</t>
  </si>
  <si>
    <t>Medium Duty</t>
  </si>
  <si>
    <t>Heavy Duty</t>
  </si>
  <si>
    <t>2. CNC Drilling (40,000 RPM)</t>
  </si>
  <si>
    <t>3. Surface Grinding Auto</t>
  </si>
  <si>
    <t>4. CNC Lathe + Feeder (&lt;3mm)</t>
  </si>
  <si>
    <t>5. Wire-Cut EDM Machine</t>
  </si>
  <si>
    <t>6. Die-Sinking EDM Machine</t>
  </si>
  <si>
    <t>Average / Total Demand</t>
  </si>
  <si>
    <t>-</t>
  </si>
  <si>
    <t>assuming Medium Duty machine for Onn Wah Tech default</t>
  </si>
  <si>
    <t>user can continue to add to the machine type list</t>
  </si>
  <si>
    <t>Example of Project</t>
  </si>
  <si>
    <t>component</t>
  </si>
  <si>
    <t>material</t>
  </si>
  <si>
    <t>Country of origin (raw material)</t>
  </si>
  <si>
    <t>surface treatment ($ SGD)</t>
  </si>
  <si>
    <t>machine type (1)</t>
  </si>
  <si>
    <t>operating hours (hours)</t>
  </si>
  <si>
    <t>machine type (2)</t>
  </si>
  <si>
    <t>comments</t>
  </si>
  <si>
    <t>TSZV0.5-0.35</t>
  </si>
  <si>
    <t>Stainless steel</t>
  </si>
  <si>
    <t>Japan</t>
  </si>
  <si>
    <t>CNC Lathe + feeder</t>
  </si>
  <si>
    <t>AU800 FLUX SENSOR</t>
  </si>
  <si>
    <t>AL 6061</t>
  </si>
  <si>
    <t>China</t>
  </si>
  <si>
    <t>CNC Milling</t>
  </si>
  <si>
    <t>EG08-497-204P</t>
  </si>
  <si>
    <t>EG08-497-203P</t>
  </si>
  <si>
    <t>EG08-497-202P</t>
  </si>
  <si>
    <t>Malaysia</t>
  </si>
  <si>
    <t>EG08-497-201P</t>
  </si>
  <si>
    <t>Brass</t>
  </si>
  <si>
    <t>CNC Drilling</t>
  </si>
  <si>
    <t>Surface Grinding</t>
  </si>
  <si>
    <t>Example of mutiple process - the flexibility to add more processes</t>
  </si>
  <si>
    <t>assuming Medium Duty machine for Onn Wah Tech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</si>
</sst>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"/>
    <numFmt numFmtId="165" formatCode="0.0%"/>
    <numFmt numFmtId="166" formatCode="#,##0.0"/>
  </numFmts>
  <fonts count="7">
    <font>
      <sz val="11.0"/>
      <color/>
      <name val="Arial"/>
      <scheme val="minor"/>
    </font>
    <font>
      <b/>
      <sz val="16.0"/>
      <color rgb="FF2C3E50"/>
      <name val="Quattrocento Sans"/>
    </font>
    <font>
      <b/>
      <sz val="11.0"/>
      <color rgb="FFFFFFFF"/>
      <name val="Quattrocento Sans"/>
    </font>
    <font>
      <sz val="10.0"/>
      <color rgb="FF000000"/>
      <name val="Quattrocento Sans"/>
    </font>
    <font>
      <b/>
      <sz val="10.0"/>
      <color rgb="FF000000"/>
      <name val="Quattrocento Sans"/>
    </font>
    <font>
      <sz val="11.0"/>
      <color/>
      <name val="Calibri"/>
    </font>
    <font>
      <sz val="11.0"/>
      <color rgb="FFFF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34495E"/>
        <bgColor rgb="FF34495E"/>
      </patternFill>
    </fill>
    <fill>
      <patternFill patternType="solid">
        <fgColor rgb="FFF8F9F9"/>
        <bgColor rgb="FFF8F9F9"/>
      </patternFill>
    </fill>
    <fill>
      <patternFill patternType="solid">
        <fgColor rgb="FFFFFF00"/>
        <bgColor rgb="FFFFFF00"/>
      </patternFill>
    </fill>
    <fill>
      <patternFill patternType="solid">
        <fgColor rgb="FFEAECEE"/>
        <bgColor rgb="FFEAECEE"/>
      </patternFill>
    </fill>
  </fills>
  <borders count="5">
    <border/>
    <border>
      <left/>
      <right/>
      <top/>
      <bottom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top style="thin">
        <color rgb="FFBDC3C7"/>
      </top>
      <bottom style="double">
        <color rgb="FF2C3E50"/>
      </bottom>
    </border>
    <border>
      <left/>
      <right/>
      <top style="thin">
        <color rgb="FFBDC3C7"/>
      </top>
      <bottom style="double">
        <color rgb="FF2C3E5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0" fontId="3" numFmtId="0" xfId="0" applyAlignment="1" applyBorder="1" applyFont="1">
      <alignment horizontal="left" vertical="center"/>
    </xf>
    <xf borderId="2" fillId="0" fontId="4" numFmtId="0" xfId="0" applyAlignment="1" applyBorder="1" applyFont="1">
      <alignment horizontal="right" vertical="center"/>
    </xf>
    <xf borderId="2" fillId="0" fontId="3" numFmtId="0" xfId="0" applyAlignment="1" applyBorder="1" applyFont="1">
      <alignment horizontal="center" vertical="center"/>
    </xf>
    <xf borderId="2" fillId="0" fontId="4" numFmtId="164" xfId="0" applyAlignment="1" applyBorder="1" applyFont="1" applyNumberFormat="1">
      <alignment horizontal="right" vertical="center"/>
    </xf>
    <xf borderId="2" fillId="0" fontId="4" numFmtId="165" xfId="0" applyAlignment="1" applyBorder="1" applyFont="1" applyNumberFormat="1">
      <alignment horizontal="right" vertical="center"/>
    </xf>
    <xf borderId="2" fillId="2" fontId="2" numFmtId="0" xfId="0" applyAlignment="1" applyBorder="1" applyFont="1">
      <alignment horizontal="center" vertical="center"/>
    </xf>
    <xf borderId="2" fillId="3" fontId="3" numFmtId="0" xfId="0" applyAlignment="1" applyBorder="1" applyFill="1" applyFont="1">
      <alignment horizontal="left" vertical="center"/>
    </xf>
    <xf borderId="2" fillId="3" fontId="3" numFmtId="0" xfId="0" applyAlignment="1" applyBorder="1" applyFont="1">
      <alignment horizontal="center" vertical="center"/>
    </xf>
    <xf borderId="2" fillId="3" fontId="3" numFmtId="166" xfId="0" applyAlignment="1" applyBorder="1" applyFont="1" applyNumberFormat="1">
      <alignment horizontal="right" vertical="center"/>
    </xf>
    <xf borderId="2" fillId="3" fontId="3" numFmtId="4" xfId="0" applyAlignment="1" applyBorder="1" applyFont="1" applyNumberFormat="1">
      <alignment horizontal="right" vertical="center"/>
    </xf>
    <xf borderId="2" fillId="3" fontId="3" numFmtId="3" xfId="0" applyAlignment="1" applyBorder="1" applyFont="1" applyNumberFormat="1">
      <alignment horizontal="right" vertical="center"/>
    </xf>
    <xf borderId="2" fillId="4" fontId="3" numFmtId="0" xfId="0" applyAlignment="1" applyBorder="1" applyFill="1" applyFont="1">
      <alignment horizontal="left" vertical="center"/>
    </xf>
    <xf borderId="2" fillId="4" fontId="3" numFmtId="0" xfId="0" applyAlignment="1" applyBorder="1" applyFont="1">
      <alignment horizontal="center" vertical="center"/>
    </xf>
    <xf borderId="2" fillId="0" fontId="3" numFmtId="166" xfId="0" applyAlignment="1" applyBorder="1" applyFont="1" applyNumberFormat="1">
      <alignment horizontal="right" vertical="center"/>
    </xf>
    <xf borderId="2" fillId="0" fontId="3" numFmtId="4" xfId="0" applyAlignment="1" applyBorder="1" applyFont="1" applyNumberFormat="1">
      <alignment horizontal="right" vertical="center"/>
    </xf>
    <xf borderId="2" fillId="0" fontId="3" numFmtId="3" xfId="0" applyAlignment="1" applyBorder="1" applyFont="1" applyNumberFormat="1">
      <alignment horizontal="right" vertical="center"/>
    </xf>
    <xf borderId="3" fillId="0" fontId="4" numFmtId="0" xfId="0" applyAlignment="1" applyBorder="1" applyFont="1">
      <alignment horizontal="left" vertical="center"/>
    </xf>
    <xf borderId="3" fillId="0" fontId="3" numFmtId="0" xfId="0" applyAlignment="1" applyBorder="1" applyFont="1">
      <alignment horizontal="center" vertical="center"/>
    </xf>
    <xf borderId="4" fillId="5" fontId="4" numFmtId="166" xfId="0" applyAlignment="1" applyBorder="1" applyFill="1" applyFont="1" applyNumberFormat="1">
      <alignment horizontal="right" vertical="center"/>
    </xf>
    <xf borderId="4" fillId="5" fontId="4" numFmtId="3" xfId="0" applyAlignment="1" applyBorder="1" applyFont="1" applyNumberFormat="1">
      <alignment horizontal="right" vertical="center"/>
    </xf>
    <xf borderId="0" fillId="0" fontId="5" numFmtId="0" xfId="0" applyAlignment="1" applyFont="1">
      <alignment horizontal="center"/>
    </xf>
    <xf borderId="0" fillId="0" fontId="6" numFmtId="0" xfId="0" applyFont="1"/>
    <xf borderId="0" fillId="0" fontId="5" numFmtId="10" xfId="0" applyAlignment="1" applyFont="1" applyNumberFormat="1">
      <alignment horizont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0" fillId="0" fontId="5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Hourly Scope 2 Carbon Emissions (kg CO2e/hr)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Hourly Scope 2 Emissions (kg CO2e/hr)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'Equipment Specifications'!$A$2:$A$19</c:f>
            </c:strRef>
          </c:cat>
          <c:val>
            <c:numRef>
              <c:f>'Equipment Specifications'!$B$2:$B$19</c:f>
              <c:numCache/>
            </c:numRef>
          </c:val>
        </c:ser>
        <c:ser>
          <c:idx val="1"/>
          <c:order val="1"/>
          <c:tx>
            <c:strRef>
              <c:f>'Equipment Specifications'!$H$1</c:f>
            </c:strRef>
          </c:tx>
          <c:cat>
            <c:strRef>
              <c:f>'Equipment Specifications'!$A$2:$A$19</c:f>
            </c:strRef>
          </c:cat>
          <c:val>
            <c:numRef>
              <c:f>'Equipment Specifications'!$H$2:$H$19</c:f>
              <c:numCache/>
            </c:numRef>
          </c:val>
        </c:ser>
        <c:axId val="94972918"/>
        <c:axId val="839975054"/>
      </c:barChart>
      <c:catAx>
        <c:axId val="949729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Machine &amp; Duty Level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9975054"/>
      </c:catAx>
      <c:valAx>
        <c:axId val="8399750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kg CO2e / hour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972918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0</xdr:rowOff>
    </xdr:from>
    <xdr:ext cx="7915275" cy="50387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11</xdr:row>
      <xdr:rowOff>142875</xdr:rowOff>
    </xdr:from>
    <xdr:ext cx="6991350" cy="5086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0"/>
    <col customWidth="1" min="2" max="2" width="12.0"/>
    <col customWidth="1" min="3" max="3" width="18.0"/>
    <col customWidth="1" min="4" max="11" width="8.71"/>
  </cols>
  <sheetData>
    <row r="1" ht="30.0" customHeight="1">
      <c r="A1" s="1" t="s">
        <v>0</v>
      </c>
    </row>
    <row r="2" ht="14.25" customHeight="1"/>
    <row r="3" ht="14.25" customHeight="1">
      <c r="A3" s="2" t="s">
        <v>1</v>
      </c>
      <c r="B3" s="2" t="s">
        <v>2</v>
      </c>
      <c r="C3" s="2" t="s">
        <v>3</v>
      </c>
    </row>
    <row r="4" ht="14.25" customHeight="1">
      <c r="A4" s="3" t="s">
        <v>4</v>
      </c>
      <c r="B4" s="4">
        <v>400.0</v>
      </c>
      <c r="C4" s="5" t="s">
        <v>5</v>
      </c>
    </row>
    <row r="5" ht="14.25" customHeight="1">
      <c r="A5" s="3" t="s">
        <v>6</v>
      </c>
      <c r="B5" s="4">
        <v>230.0</v>
      </c>
      <c r="C5" s="5" t="s">
        <v>5</v>
      </c>
    </row>
    <row r="6" ht="14.25" customHeight="1">
      <c r="A6" s="3" t="s">
        <v>7</v>
      </c>
      <c r="B6" s="4">
        <v>50.0</v>
      </c>
      <c r="C6" s="5" t="s">
        <v>8</v>
      </c>
    </row>
    <row r="7" ht="14.25" customHeight="1">
      <c r="A7" s="3" t="s">
        <v>9</v>
      </c>
      <c r="B7" s="6">
        <v>0.4168</v>
      </c>
      <c r="C7" s="5" t="s">
        <v>10</v>
      </c>
    </row>
    <row r="8" ht="14.25" customHeight="1">
      <c r="A8" s="3" t="s">
        <v>11</v>
      </c>
      <c r="B8" s="7">
        <v>0.65</v>
      </c>
      <c r="C8" s="5" t="s">
        <v>12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14"/>
    <col customWidth="1" min="2" max="3" width="15.0"/>
    <col customWidth="1" min="4" max="4" width="18.0"/>
    <col customWidth="1" min="5" max="5" width="21.0"/>
    <col customWidth="1" min="6" max="6" width="27.0"/>
    <col customWidth="1" min="7" max="7" width="25.0"/>
    <col customWidth="1" min="8" max="8" width="41.0"/>
    <col customWidth="1" min="9" max="11" width="8.71"/>
  </cols>
  <sheetData>
    <row r="1" ht="25.5" customHeight="1">
      <c r="A1" s="8" t="s">
        <v>13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</row>
    <row r="2" ht="19.5" customHeight="1">
      <c r="A2" s="9" t="s">
        <v>21</v>
      </c>
      <c r="B2" s="10" t="s">
        <v>22</v>
      </c>
      <c r="C2" s="10">
        <v>400.0</v>
      </c>
      <c r="D2" s="10">
        <v>50.0</v>
      </c>
      <c r="E2" s="11">
        <v>11.0</v>
      </c>
      <c r="F2" s="12" t="str">
        <f>E2*'Summary &amp; Parameters'!$B$8</f>
        <v>7.15</v>
      </c>
      <c r="G2" s="13">
        <v>22.0</v>
      </c>
      <c r="H2" s="12" t="str">
        <f>F2*'Summary &amp; Parameters'!$B$7</f>
        <v>2.98</v>
      </c>
    </row>
    <row r="3" ht="19.5" customHeight="1">
      <c r="A3" s="14" t="s">
        <v>21</v>
      </c>
      <c r="B3" s="15" t="s">
        <v>23</v>
      </c>
      <c r="C3" s="5">
        <v>400.0</v>
      </c>
      <c r="D3" s="5">
        <v>50.0</v>
      </c>
      <c r="E3" s="16">
        <v>22.0</v>
      </c>
      <c r="F3" s="17" t="str">
        <f>E3*'Summary &amp; Parameters'!$B$8</f>
        <v>14.30</v>
      </c>
      <c r="G3" s="18">
        <v>43.0</v>
      </c>
      <c r="H3" s="17" t="str">
        <f>F3*'Summary &amp; Parameters'!$B$7</f>
        <v>5.96</v>
      </c>
    </row>
    <row r="4" ht="19.5" customHeight="1">
      <c r="A4" s="9" t="s">
        <v>21</v>
      </c>
      <c r="B4" s="10" t="s">
        <v>24</v>
      </c>
      <c r="C4" s="10">
        <v>400.0</v>
      </c>
      <c r="D4" s="10">
        <v>50.0</v>
      </c>
      <c r="E4" s="11">
        <v>45.0</v>
      </c>
      <c r="F4" s="12" t="str">
        <f>E4*'Summary &amp; Parameters'!$B$8</f>
        <v>29.25</v>
      </c>
      <c r="G4" s="13">
        <v>85.0</v>
      </c>
      <c r="H4" s="12" t="str">
        <f>F4*'Summary &amp; Parameters'!$B$7</f>
        <v>12.19</v>
      </c>
    </row>
    <row r="5" ht="19.5" customHeight="1">
      <c r="A5" s="3" t="s">
        <v>25</v>
      </c>
      <c r="B5" s="5" t="s">
        <v>22</v>
      </c>
      <c r="C5" s="5">
        <v>400.0</v>
      </c>
      <c r="D5" s="5">
        <v>50.0</v>
      </c>
      <c r="E5" s="16">
        <v>3.7</v>
      </c>
      <c r="F5" s="17" t="str">
        <f>E5*'Summary &amp; Parameters'!$B$8</f>
        <v>2.41</v>
      </c>
      <c r="G5" s="18">
        <v>7.0</v>
      </c>
      <c r="H5" s="17" t="str">
        <f>F5*'Summary &amp; Parameters'!$B$7</f>
        <v>1.00</v>
      </c>
    </row>
    <row r="6" ht="19.5" customHeight="1">
      <c r="A6" s="14" t="s">
        <v>25</v>
      </c>
      <c r="B6" s="15" t="s">
        <v>23</v>
      </c>
      <c r="C6" s="10">
        <v>400.0</v>
      </c>
      <c r="D6" s="10">
        <v>50.0</v>
      </c>
      <c r="E6" s="11">
        <v>7.5</v>
      </c>
      <c r="F6" s="12" t="str">
        <f>E6*'Summary &amp; Parameters'!$B$8</f>
        <v>4.88</v>
      </c>
      <c r="G6" s="13">
        <v>15.0</v>
      </c>
      <c r="H6" s="12" t="str">
        <f>F6*'Summary &amp; Parameters'!$B$7</f>
        <v>2.03</v>
      </c>
    </row>
    <row r="7" ht="19.5" customHeight="1">
      <c r="A7" s="3" t="s">
        <v>25</v>
      </c>
      <c r="B7" s="5" t="s">
        <v>24</v>
      </c>
      <c r="C7" s="5">
        <v>400.0</v>
      </c>
      <c r="D7" s="5">
        <v>50.0</v>
      </c>
      <c r="E7" s="16">
        <v>15.0</v>
      </c>
      <c r="F7" s="17" t="str">
        <f>E7*'Summary &amp; Parameters'!$B$8</f>
        <v>9.75</v>
      </c>
      <c r="G7" s="18">
        <v>30.0</v>
      </c>
      <c r="H7" s="17" t="str">
        <f>F7*'Summary &amp; Parameters'!$B$7</f>
        <v>4.06</v>
      </c>
    </row>
    <row r="8" ht="19.5" customHeight="1">
      <c r="A8" s="9" t="s">
        <v>26</v>
      </c>
      <c r="B8" s="10" t="s">
        <v>22</v>
      </c>
      <c r="C8" s="10">
        <v>400.0</v>
      </c>
      <c r="D8" s="10">
        <v>50.0</v>
      </c>
      <c r="E8" s="11">
        <v>3.5</v>
      </c>
      <c r="F8" s="12" t="str">
        <f>E8*'Summary &amp; Parameters'!$B$8</f>
        <v>2.28</v>
      </c>
      <c r="G8" s="13">
        <v>7.0</v>
      </c>
      <c r="H8" s="12" t="str">
        <f>F8*'Summary &amp; Parameters'!$B$7</f>
        <v>0.95</v>
      </c>
    </row>
    <row r="9" ht="19.5" customHeight="1">
      <c r="A9" s="14" t="s">
        <v>26</v>
      </c>
      <c r="B9" s="15" t="s">
        <v>23</v>
      </c>
      <c r="C9" s="5">
        <v>400.0</v>
      </c>
      <c r="D9" s="5">
        <v>50.0</v>
      </c>
      <c r="E9" s="16">
        <v>7.5</v>
      </c>
      <c r="F9" s="17" t="str">
        <f>E9*'Summary &amp; Parameters'!$B$8</f>
        <v>4.88</v>
      </c>
      <c r="G9" s="18">
        <v>15.0</v>
      </c>
      <c r="H9" s="17" t="str">
        <f>F9*'Summary &amp; Parameters'!$B$7</f>
        <v>2.03</v>
      </c>
    </row>
    <row r="10" ht="19.5" customHeight="1">
      <c r="A10" s="9" t="s">
        <v>26</v>
      </c>
      <c r="B10" s="10" t="s">
        <v>24</v>
      </c>
      <c r="C10" s="10">
        <v>400.0</v>
      </c>
      <c r="D10" s="10">
        <v>50.0</v>
      </c>
      <c r="E10" s="11">
        <v>22.0</v>
      </c>
      <c r="F10" s="12" t="str">
        <f>E10*'Summary &amp; Parameters'!$B$8</f>
        <v>14.30</v>
      </c>
      <c r="G10" s="13">
        <v>43.0</v>
      </c>
      <c r="H10" s="12" t="str">
        <f>F10*'Summary &amp; Parameters'!$B$7</f>
        <v>5.96</v>
      </c>
    </row>
    <row r="11" ht="19.5" customHeight="1">
      <c r="A11" s="3" t="s">
        <v>27</v>
      </c>
      <c r="B11" s="5" t="s">
        <v>22</v>
      </c>
      <c r="C11" s="5">
        <v>400.0</v>
      </c>
      <c r="D11" s="5">
        <v>50.0</v>
      </c>
      <c r="E11" s="16">
        <v>5.5</v>
      </c>
      <c r="F11" s="17" t="str">
        <f>E11*'Summary &amp; Parameters'!$B$8</f>
        <v>3.58</v>
      </c>
      <c r="G11" s="18">
        <v>11.0</v>
      </c>
      <c r="H11" s="17" t="str">
        <f>F11*'Summary &amp; Parameters'!$B$7</f>
        <v>1.49</v>
      </c>
    </row>
    <row r="12" ht="19.5" customHeight="1">
      <c r="A12" s="14" t="s">
        <v>27</v>
      </c>
      <c r="B12" s="15" t="s">
        <v>23</v>
      </c>
      <c r="C12" s="10">
        <v>400.0</v>
      </c>
      <c r="D12" s="10">
        <v>50.0</v>
      </c>
      <c r="E12" s="11">
        <v>11.0</v>
      </c>
      <c r="F12" s="12" t="str">
        <f>E12*'Summary &amp; Parameters'!$B$8</f>
        <v>7.15</v>
      </c>
      <c r="G12" s="13">
        <v>22.0</v>
      </c>
      <c r="H12" s="12" t="str">
        <f>F12*'Summary &amp; Parameters'!$B$7</f>
        <v>2.98</v>
      </c>
    </row>
    <row r="13" ht="19.5" customHeight="1">
      <c r="A13" s="3" t="s">
        <v>27</v>
      </c>
      <c r="B13" s="5" t="s">
        <v>24</v>
      </c>
      <c r="C13" s="5">
        <v>400.0</v>
      </c>
      <c r="D13" s="5">
        <v>50.0</v>
      </c>
      <c r="E13" s="16">
        <v>18.0</v>
      </c>
      <c r="F13" s="17" t="str">
        <f>E13*'Summary &amp; Parameters'!$B$8</f>
        <v>11.70</v>
      </c>
      <c r="G13" s="18">
        <v>36.0</v>
      </c>
      <c r="H13" s="17" t="str">
        <f>F13*'Summary &amp; Parameters'!$B$7</f>
        <v>4.88</v>
      </c>
    </row>
    <row r="14" ht="19.5" customHeight="1">
      <c r="A14" s="9" t="s">
        <v>28</v>
      </c>
      <c r="B14" s="10" t="s">
        <v>22</v>
      </c>
      <c r="C14" s="10">
        <v>400.0</v>
      </c>
      <c r="D14" s="10">
        <v>50.0</v>
      </c>
      <c r="E14" s="11">
        <v>6.0</v>
      </c>
      <c r="F14" s="12" t="str">
        <f>E14*'Summary &amp; Parameters'!$B$8</f>
        <v>3.90</v>
      </c>
      <c r="G14" s="13">
        <v>12.0</v>
      </c>
      <c r="H14" s="12" t="str">
        <f>F14*'Summary &amp; Parameters'!$B$7</f>
        <v>1.63</v>
      </c>
    </row>
    <row r="15" ht="19.5" customHeight="1">
      <c r="A15" s="14" t="s">
        <v>28</v>
      </c>
      <c r="B15" s="15" t="s">
        <v>23</v>
      </c>
      <c r="C15" s="5">
        <v>400.0</v>
      </c>
      <c r="D15" s="5">
        <v>50.0</v>
      </c>
      <c r="E15" s="16">
        <v>11.0</v>
      </c>
      <c r="F15" s="17" t="str">
        <f>E15*'Summary &amp; Parameters'!$B$8</f>
        <v>7.15</v>
      </c>
      <c r="G15" s="18">
        <v>22.0</v>
      </c>
      <c r="H15" s="17" t="str">
        <f>F15*'Summary &amp; Parameters'!$B$7</f>
        <v>2.98</v>
      </c>
    </row>
    <row r="16" ht="19.5" customHeight="1">
      <c r="A16" s="9" t="s">
        <v>28</v>
      </c>
      <c r="B16" s="10" t="s">
        <v>24</v>
      </c>
      <c r="C16" s="10">
        <v>400.0</v>
      </c>
      <c r="D16" s="10">
        <v>50.0</v>
      </c>
      <c r="E16" s="11">
        <v>22.0</v>
      </c>
      <c r="F16" s="12" t="str">
        <f>E16*'Summary &amp; Parameters'!$B$8</f>
        <v>14.30</v>
      </c>
      <c r="G16" s="13">
        <v>43.0</v>
      </c>
      <c r="H16" s="12" t="str">
        <f>F16*'Summary &amp; Parameters'!$B$7</f>
        <v>5.96</v>
      </c>
    </row>
    <row r="17" ht="19.5" customHeight="1">
      <c r="A17" s="3" t="s">
        <v>29</v>
      </c>
      <c r="B17" s="5" t="s">
        <v>22</v>
      </c>
      <c r="C17" s="5">
        <v>400.0</v>
      </c>
      <c r="D17" s="5">
        <v>50.0</v>
      </c>
      <c r="E17" s="16">
        <v>4.0</v>
      </c>
      <c r="F17" s="17" t="str">
        <f>E17*'Summary &amp; Parameters'!$B$8</f>
        <v>2.60</v>
      </c>
      <c r="G17" s="18">
        <v>8.0</v>
      </c>
      <c r="H17" s="17" t="str">
        <f>F17*'Summary &amp; Parameters'!$B$7</f>
        <v>1.08</v>
      </c>
    </row>
    <row r="18" ht="19.5" customHeight="1">
      <c r="A18" s="14" t="s">
        <v>29</v>
      </c>
      <c r="B18" s="15" t="s">
        <v>23</v>
      </c>
      <c r="C18" s="10">
        <v>400.0</v>
      </c>
      <c r="D18" s="10">
        <v>50.0</v>
      </c>
      <c r="E18" s="11">
        <v>8.0</v>
      </c>
      <c r="F18" s="12" t="str">
        <f>E18*'Summary &amp; Parameters'!$B$8</f>
        <v>5.20</v>
      </c>
      <c r="G18" s="13">
        <v>16.0</v>
      </c>
      <c r="H18" s="12" t="str">
        <f>F18*'Summary &amp; Parameters'!$B$7</f>
        <v>2.17</v>
      </c>
    </row>
    <row r="19" ht="19.5" customHeight="1">
      <c r="A19" s="3" t="s">
        <v>29</v>
      </c>
      <c r="B19" s="5" t="s">
        <v>24</v>
      </c>
      <c r="C19" s="5">
        <v>400.0</v>
      </c>
      <c r="D19" s="5">
        <v>50.0</v>
      </c>
      <c r="E19" s="16">
        <v>18.0</v>
      </c>
      <c r="F19" s="17" t="str">
        <f>E19*'Summary &amp; Parameters'!$B$8</f>
        <v>11.70</v>
      </c>
      <c r="G19" s="18">
        <v>38.0</v>
      </c>
      <c r="H19" s="17" t="str">
        <f>F19*'Summary &amp; Parameters'!$B$7</f>
        <v>4.88</v>
      </c>
    </row>
    <row r="20" ht="14.25" customHeight="1">
      <c r="A20" s="19" t="s">
        <v>30</v>
      </c>
      <c r="B20" s="20" t="s">
        <v>31</v>
      </c>
      <c r="C20" s="20" t="s">
        <v>31</v>
      </c>
      <c r="D20" s="20" t="s">
        <v>31</v>
      </c>
      <c r="E20" s="21" t="str">
        <f t="shared" ref="E20:H20" si="1">SUM(E2:E19)</f>
        <v>240.7</v>
      </c>
      <c r="F20" s="21" t="str">
        <f t="shared" si="1"/>
        <v>156.5</v>
      </c>
      <c r="G20" s="22" t="str">
        <f t="shared" si="1"/>
        <v>475</v>
      </c>
      <c r="H20" s="21" t="str">
        <f t="shared" si="1"/>
        <v>65.2</v>
      </c>
    </row>
    <row r="21" ht="14.25" customHeight="1"/>
    <row r="22" ht="14.25" customHeight="1"/>
    <row r="23" ht="14.25" customHeight="1">
      <c r="A23" t="s">
        <v>1</v>
      </c>
      <c r="B23" s="23" t="s">
        <v>2</v>
      </c>
      <c r="C23" s="23" t="s">
        <v>3</v>
      </c>
      <c r="E23" s="24" t="s">
        <v>32</v>
      </c>
    </row>
    <row r="24" ht="14.25" customHeight="1">
      <c r="A24" t="s">
        <v>4</v>
      </c>
      <c r="B24" s="23">
        <v>400.0</v>
      </c>
      <c r="C24" s="23" t="s">
        <v>5</v>
      </c>
      <c r="E24" t="s">
        <v>33</v>
      </c>
    </row>
    <row r="25" ht="14.25" customHeight="1">
      <c r="A25" t="s">
        <v>6</v>
      </c>
      <c r="B25" s="23">
        <v>230.0</v>
      </c>
      <c r="C25" s="23" t="s">
        <v>5</v>
      </c>
    </row>
    <row r="26" ht="14.25" customHeight="1">
      <c r="A26" t="s">
        <v>7</v>
      </c>
      <c r="B26" s="23">
        <v>50.0</v>
      </c>
      <c r="C26" s="23" t="s">
        <v>8</v>
      </c>
    </row>
    <row r="27" ht="14.25" customHeight="1">
      <c r="A27" t="s">
        <v>9</v>
      </c>
      <c r="B27" s="23">
        <v>0.4168</v>
      </c>
      <c r="C27" s="23" t="s">
        <v>10</v>
      </c>
    </row>
    <row r="28" ht="14.25" customHeight="1">
      <c r="A28" t="s">
        <v>11</v>
      </c>
      <c r="B28" s="25">
        <v>0.65</v>
      </c>
      <c r="C28" s="23" t="s">
        <v>12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.71"/>
    <col customWidth="1" min="3" max="3" width="17.86"/>
    <col customWidth="1" min="4" max="4" width="14.43"/>
    <col customWidth="1" min="5" max="5" width="17.86"/>
    <col customWidth="1" min="6" max="6" width="13.86"/>
    <col customWidth="1" min="7" max="7" width="16.71"/>
    <col customWidth="1" min="8" max="8" width="15.71"/>
    <col customWidth="1" min="9" max="9" width="14.57"/>
    <col customWidth="1" min="10" max="10" width="20.86"/>
    <col customWidth="1" min="11" max="11" width="24.0"/>
    <col customWidth="1" min="12" max="14" width="8.71"/>
    <col customWidth="1" min="15" max="15" width="25.71"/>
    <col customWidth="1" min="16" max="17" width="8.71"/>
  </cols>
  <sheetData>
    <row r="1" ht="14.25" customHeight="1"/>
    <row r="2" ht="14.25" customHeight="1">
      <c r="B2" t="s">
        <v>34</v>
      </c>
    </row>
    <row r="3" ht="14.25" customHeight="1"/>
    <row r="4" ht="14.25" customHeight="1">
      <c r="B4" s="26"/>
      <c r="C4" s="26" t="s">
        <v>35</v>
      </c>
      <c r="D4" s="26" t="s">
        <v>36</v>
      </c>
      <c r="E4" s="27" t="s">
        <v>37</v>
      </c>
      <c r="F4" s="27" t="s">
        <v>38</v>
      </c>
      <c r="G4" s="26" t="s">
        <v>39</v>
      </c>
      <c r="H4" s="27" t="s">
        <v>40</v>
      </c>
      <c r="I4" s="26" t="s">
        <v>41</v>
      </c>
      <c r="J4" s="26" t="s">
        <v>40</v>
      </c>
      <c r="K4" s="28" t="s">
        <v>42</v>
      </c>
      <c r="L4" s="23"/>
      <c r="M4" s="23"/>
      <c r="N4" s="23"/>
      <c r="O4" s="23"/>
    </row>
    <row r="5" ht="14.25" customHeight="1">
      <c r="B5" s="23">
        <v>27.0</v>
      </c>
      <c r="C5" s="23" t="s">
        <v>43</v>
      </c>
      <c r="D5" s="23" t="s">
        <v>44</v>
      </c>
      <c r="E5" s="23" t="s">
        <v>45</v>
      </c>
      <c r="F5" s="23">
        <v>0.0</v>
      </c>
      <c r="G5" s="23" t="s">
        <v>46</v>
      </c>
      <c r="H5" s="23">
        <v>72.0</v>
      </c>
      <c r="I5" s="23">
        <v>0.0</v>
      </c>
      <c r="J5" s="23"/>
      <c r="K5" s="23"/>
      <c r="L5" s="23"/>
      <c r="M5" s="23"/>
      <c r="N5" s="23"/>
      <c r="O5" s="23"/>
      <c r="Q5" s="9"/>
    </row>
    <row r="6" ht="14.25" customHeight="1">
      <c r="B6" s="23">
        <v>6.0</v>
      </c>
      <c r="C6" s="23" t="s">
        <v>47</v>
      </c>
      <c r="D6" s="23" t="s">
        <v>48</v>
      </c>
      <c r="E6" s="23" t="s">
        <v>49</v>
      </c>
      <c r="F6" s="23">
        <v>8.0</v>
      </c>
      <c r="G6" s="23" t="s">
        <v>50</v>
      </c>
      <c r="H6" s="23">
        <v>0.5</v>
      </c>
      <c r="I6" s="23">
        <v>0.0</v>
      </c>
      <c r="J6" s="23"/>
      <c r="K6" s="23"/>
      <c r="L6" s="23"/>
      <c r="M6" s="23"/>
      <c r="N6" s="23"/>
      <c r="O6" s="23"/>
      <c r="Q6" s="14" t="s">
        <v>21</v>
      </c>
    </row>
    <row r="7" ht="14.25" customHeight="1">
      <c r="B7" s="23">
        <v>4.0</v>
      </c>
      <c r="C7" s="23" t="s">
        <v>51</v>
      </c>
      <c r="D7" s="23" t="s">
        <v>48</v>
      </c>
      <c r="E7" s="23" t="s">
        <v>49</v>
      </c>
      <c r="F7" s="23">
        <v>20.0</v>
      </c>
      <c r="G7" s="23" t="s">
        <v>50</v>
      </c>
      <c r="H7" s="23">
        <v>1.0</v>
      </c>
      <c r="I7" s="23">
        <v>0.0</v>
      </c>
      <c r="J7" s="23"/>
      <c r="K7" s="23"/>
      <c r="L7" s="23"/>
      <c r="M7" s="23"/>
      <c r="N7" s="23"/>
      <c r="O7" s="23"/>
      <c r="Q7" s="14" t="s">
        <v>25</v>
      </c>
    </row>
    <row r="8" ht="14.25" customHeight="1">
      <c r="B8" s="23">
        <v>3.0</v>
      </c>
      <c r="C8" s="23" t="s">
        <v>52</v>
      </c>
      <c r="D8" s="23" t="s">
        <v>48</v>
      </c>
      <c r="E8" s="23" t="s">
        <v>49</v>
      </c>
      <c r="F8" s="23">
        <v>20.0</v>
      </c>
      <c r="G8" s="23" t="s">
        <v>50</v>
      </c>
      <c r="H8" s="23">
        <v>1.0</v>
      </c>
      <c r="I8" s="23">
        <v>0.0</v>
      </c>
      <c r="J8" s="23"/>
      <c r="K8" s="23"/>
      <c r="L8" s="23"/>
      <c r="M8" s="23"/>
      <c r="N8" s="23"/>
      <c r="O8" s="23"/>
      <c r="Q8" s="14" t="s">
        <v>26</v>
      </c>
    </row>
    <row r="9" ht="14.25" customHeight="1">
      <c r="B9" s="23">
        <v>2.0</v>
      </c>
      <c r="C9" s="23" t="s">
        <v>53</v>
      </c>
      <c r="D9" s="23" t="s">
        <v>48</v>
      </c>
      <c r="E9" s="23" t="s">
        <v>54</v>
      </c>
      <c r="F9" s="23">
        <v>50.0</v>
      </c>
      <c r="G9" s="23" t="s">
        <v>50</v>
      </c>
      <c r="H9" s="23">
        <v>4.0</v>
      </c>
      <c r="I9" s="23">
        <v>0.0</v>
      </c>
      <c r="J9" s="23"/>
      <c r="K9" s="23"/>
      <c r="L9" s="23"/>
      <c r="M9" s="23"/>
      <c r="N9" s="23"/>
      <c r="O9" s="23"/>
      <c r="Q9" s="14" t="s">
        <v>27</v>
      </c>
    </row>
    <row r="10" ht="14.25" customHeight="1">
      <c r="B10" s="23">
        <v>1.0</v>
      </c>
      <c r="C10" s="23" t="s">
        <v>55</v>
      </c>
      <c r="D10" s="23" t="s">
        <v>56</v>
      </c>
      <c r="E10" s="23" t="s">
        <v>49</v>
      </c>
      <c r="F10" s="23">
        <v>0.0</v>
      </c>
      <c r="G10" s="23" t="s">
        <v>57</v>
      </c>
      <c r="H10" s="23">
        <v>72.0</v>
      </c>
      <c r="I10" s="23" t="s">
        <v>58</v>
      </c>
      <c r="J10" s="23">
        <v>3.0</v>
      </c>
      <c r="K10" s="29" t="s">
        <v>59</v>
      </c>
      <c r="L10" s="23"/>
      <c r="M10" s="23"/>
      <c r="N10" s="23"/>
      <c r="O10" s="23"/>
      <c r="Q10" s="14" t="s">
        <v>28</v>
      </c>
    </row>
    <row r="11" ht="14.25" customHeight="1">
      <c r="B11" s="23"/>
      <c r="C11" s="23"/>
      <c r="D11" s="23"/>
      <c r="E11" s="23"/>
      <c r="F11" s="23"/>
      <c r="G11" s="23"/>
      <c r="H11" s="23"/>
      <c r="I11" s="23"/>
      <c r="J11" s="23"/>
      <c r="K11" s="29"/>
      <c r="L11" s="23"/>
      <c r="M11" s="23"/>
      <c r="N11" s="23"/>
      <c r="O11" s="23"/>
      <c r="Q11" s="14" t="s">
        <v>29</v>
      </c>
    </row>
    <row r="12" ht="14.25" customHeight="1"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</row>
    <row r="13" ht="14.25" customHeight="1">
      <c r="B13" s="23"/>
      <c r="C13" s="23"/>
      <c r="D13" s="23"/>
      <c r="E13" s="23"/>
      <c r="F13" s="23"/>
      <c r="G13" s="23"/>
      <c r="H13" s="23"/>
      <c r="I13" s="23"/>
      <c r="J13" s="24" t="s">
        <v>60</v>
      </c>
      <c r="K13" s="23"/>
      <c r="L13" s="23"/>
      <c r="M13" s="23"/>
      <c r="N13" s="23"/>
      <c r="O13" s="23"/>
    </row>
    <row r="14" ht="14.25" customHeight="1"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 &amp; Parameters</vt:lpstr>
      <vt:lpstr>Equipment Specifications</vt:lpstr>
      <vt:lpstr>example of project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2026-06-22T11:23:10Z</dcterms:created>
  <dc:creator>openpyxl</dc:creator>
  <cp:lastModifiedBy>Hon Yong Mok</cp:lastModifiedBy>
  <dcterms:modified xsi:type="dcterms:W3CDTF">2026-06-22T11:51:57Z</dcterms:modified>
</cp:coreProperties>
</file>